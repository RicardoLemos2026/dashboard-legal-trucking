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bia - Nova Pasta\11 - TS CONSULTORIA\1 - LEGAL TRUCKING\3 - Entregas\"/>
    </mc:Choice>
  </mc:AlternateContent>
  <xr:revisionPtr revIDLastSave="0" documentId="13_ncr:1_{E1234F41-B85C-4A4E-B57E-D687AFA49CC2}" xr6:coauthVersionLast="47" xr6:coauthVersionMax="47" xr10:uidLastSave="{00000000-0000-0000-0000-000000000000}"/>
  <bookViews>
    <workbookView xWindow="-120" yWindow="-120" windowWidth="20730" windowHeight="11160" xr2:uid="{8F9ACC97-487A-4199-8072-C1A70171F80D}"/>
  </bookViews>
  <sheets>
    <sheet name="Comissão de 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E4" i="1" l="1"/>
  <c r="E30" i="1"/>
  <c r="E29" i="1"/>
  <c r="E28" i="1"/>
  <c r="E24" i="1"/>
  <c r="E23" i="1"/>
  <c r="E22" i="1"/>
  <c r="E18" i="1"/>
  <c r="E17" i="1"/>
  <c r="E16" i="1"/>
  <c r="E12" i="1"/>
  <c r="E11" i="1"/>
  <c r="E10" i="1"/>
  <c r="E5" i="1"/>
  <c r="E6" i="1"/>
  <c r="E8" i="1" l="1"/>
  <c r="H31" i="1"/>
  <c r="D32" i="1"/>
  <c r="I32" i="1" s="1"/>
  <c r="D26" i="1"/>
  <c r="I26" i="1" s="1"/>
  <c r="H25" i="1"/>
  <c r="D20" i="1"/>
  <c r="D14" i="1"/>
  <c r="I14" i="1" s="1"/>
  <c r="H19" i="1"/>
  <c r="H13" i="1"/>
  <c r="D8" i="1"/>
  <c r="I8" i="1" s="1"/>
  <c r="H7" i="1"/>
  <c r="I20" i="1" l="1"/>
  <c r="F16" i="1"/>
  <c r="I34" i="1"/>
  <c r="F28" i="1"/>
  <c r="F22" i="1"/>
  <c r="F10" i="1"/>
  <c r="G10" i="1" s="1"/>
  <c r="D34" i="1"/>
  <c r="F4" i="1"/>
  <c r="E14" i="1"/>
  <c r="E32" i="1"/>
  <c r="E26" i="1"/>
  <c r="E20" i="1"/>
  <c r="G5" i="1" l="1"/>
  <c r="G6" i="1"/>
  <c r="G18" i="1"/>
  <c r="H18" i="1" s="1"/>
  <c r="G17" i="1"/>
  <c r="H17" i="1" s="1"/>
  <c r="G16" i="1"/>
  <c r="F20" i="1"/>
  <c r="G29" i="1"/>
  <c r="G30" i="1"/>
  <c r="G28" i="1"/>
  <c r="F32" i="1"/>
  <c r="G23" i="1"/>
  <c r="H23" i="1" s="1"/>
  <c r="G24" i="1"/>
  <c r="H24" i="1" s="1"/>
  <c r="G22" i="1"/>
  <c r="F26" i="1"/>
  <c r="G11" i="1"/>
  <c r="H11" i="1" s="1"/>
  <c r="G12" i="1"/>
  <c r="H12" i="1" s="1"/>
  <c r="F14" i="1"/>
  <c r="F8" i="1"/>
  <c r="G4" i="1"/>
  <c r="H5" i="1"/>
  <c r="H6" i="1"/>
  <c r="E34" i="1"/>
  <c r="F34" i="1" l="1"/>
  <c r="G20" i="1"/>
  <c r="H16" i="1"/>
  <c r="H20" i="1" s="1"/>
  <c r="H29" i="1"/>
  <c r="H30" i="1"/>
  <c r="H28" i="1"/>
  <c r="H22" i="1"/>
  <c r="H26" i="1" s="1"/>
  <c r="G26" i="1"/>
  <c r="G14" i="1"/>
  <c r="H10" i="1"/>
  <c r="H14" i="1" s="1"/>
  <c r="G8" i="1"/>
  <c r="H4" i="1"/>
  <c r="H8" i="1" s="1"/>
  <c r="G32" i="1" l="1"/>
  <c r="G34" i="1" s="1"/>
  <c r="H32" i="1"/>
  <c r="H34" i="1" s="1"/>
  <c r="H35" i="1" s="1"/>
  <c r="H37" i="1" l="1"/>
</calcChain>
</file>

<file path=xl/sharedStrings.xml><?xml version="1.0" encoding="utf-8"?>
<sst xmlns="http://schemas.openxmlformats.org/spreadsheetml/2006/main" count="64" uniqueCount="28">
  <si>
    <t xml:space="preserve">Dezembro </t>
  </si>
  <si>
    <t xml:space="preserve">Janeiro </t>
  </si>
  <si>
    <t xml:space="preserve">Fevereiro </t>
  </si>
  <si>
    <t>Vendedor</t>
  </si>
  <si>
    <t>Vendas Equipe</t>
  </si>
  <si>
    <t>Comissão Total</t>
  </si>
  <si>
    <t>Outubro</t>
  </si>
  <si>
    <t xml:space="preserve">Fernanda </t>
  </si>
  <si>
    <t>Vendedor I</t>
  </si>
  <si>
    <t>Vendedor II</t>
  </si>
  <si>
    <t>Vendedor III</t>
  </si>
  <si>
    <t>Mês</t>
  </si>
  <si>
    <t xml:space="preserve">Meta de Vendas </t>
  </si>
  <si>
    <t>Vendas Individuais</t>
  </si>
  <si>
    <t xml:space="preserve">Bônus Equipe </t>
  </si>
  <si>
    <t>Novembro</t>
  </si>
  <si>
    <t>Total</t>
  </si>
  <si>
    <t>Campos Editáveis</t>
  </si>
  <si>
    <t>COMISSÃO DE VENDAS - ELITE</t>
  </si>
  <si>
    <t>TOTAL GERAL</t>
  </si>
  <si>
    <t>Comissão Individual</t>
  </si>
  <si>
    <t>($10 por venda ÷ nº vendedores)</t>
  </si>
  <si>
    <t xml:space="preserve"> ($30 por venda)</t>
  </si>
  <si>
    <t xml:space="preserve">Bônus equipe </t>
  </si>
  <si>
    <t xml:space="preserve">Preço Elite </t>
  </si>
  <si>
    <t>Custo Total/Elite</t>
  </si>
  <si>
    <t>Outros custos</t>
  </si>
  <si>
    <t>Comissão/Elite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</si>
</sst>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[$$-409]#,##0.00_ ;\-[$$-409]#,##0.00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165" fontId="0" fillId="0" borderId="11" xfId="0" applyNumberFormat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5" fontId="0" fillId="0" borderId="8" xfId="0" applyNumberForma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5" borderId="8" xfId="0" applyFont="1" applyFill="1" applyBorder="1" applyAlignment="1" applyProtection="1">
      <alignment horizontal="center" vertical="center" wrapText="1"/>
      <protection locked="0"/>
    </xf>
    <xf numFmtId="0" fontId="1" fillId="5" borderId="11" xfId="0" applyFont="1" applyFill="1" applyBorder="1" applyAlignment="1" applyProtection="1">
      <alignment horizontal="center" vertical="center" wrapText="1"/>
      <protection locked="0"/>
    </xf>
    <xf numFmtId="0" fontId="1" fillId="5" borderId="14" xfId="0" applyFont="1" applyFill="1" applyBorder="1" applyAlignment="1" applyProtection="1">
      <alignment horizontal="center" vertical="center" wrapText="1"/>
      <protection locked="0"/>
    </xf>
    <xf numFmtId="0" fontId="1" fillId="5" borderId="8" xfId="0" applyFont="1" applyFill="1" applyBorder="1" applyAlignment="1" applyProtection="1">
      <alignment vertical="center" wrapText="1"/>
      <protection locked="0"/>
    </xf>
    <xf numFmtId="0" fontId="1" fillId="5" borderId="11" xfId="0" applyFont="1" applyFill="1" applyBorder="1" applyAlignment="1" applyProtection="1">
      <alignment vertical="center" wrapText="1"/>
      <protection locked="0"/>
    </xf>
    <xf numFmtId="0" fontId="1" fillId="5" borderId="14" xfId="0" applyFont="1" applyFill="1" applyBorder="1" applyAlignment="1" applyProtection="1">
      <alignment vertical="center" wrapText="1"/>
      <protection locked="0"/>
    </xf>
    <xf numFmtId="0" fontId="1" fillId="4" borderId="1" xfId="0" applyFont="1" applyFill="1" applyBorder="1" applyAlignment="1">
      <alignment horizontal="center"/>
    </xf>
    <xf numFmtId="164" fontId="0" fillId="0" borderId="0" xfId="1" applyFont="1"/>
    <xf numFmtId="164" fontId="0" fillId="0" borderId="0" xfId="0" applyNumberFormat="1"/>
    <xf numFmtId="10" fontId="0" fillId="0" borderId="0" xfId="2" applyNumberFormat="1" applyFont="1"/>
    <xf numFmtId="165" fontId="0" fillId="0" borderId="16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165" fontId="1" fillId="4" borderId="17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164" fontId="1" fillId="4" borderId="1" xfId="1" applyFont="1" applyFill="1" applyBorder="1"/>
    <xf numFmtId="164" fontId="5" fillId="4" borderId="1" xfId="1" applyFont="1" applyFill="1" applyBorder="1"/>
    <xf numFmtId="164" fontId="0" fillId="2" borderId="1" xfId="1" applyFont="1" applyFill="1" applyBorder="1" applyAlignment="1">
      <alignment horizontal="center"/>
    </xf>
    <xf numFmtId="10" fontId="0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B231-75AF-4531-B3F4-16FA12E237F1}">
  <dimension ref="A1:K37"/>
  <sheetViews>
    <sheetView tabSelected="1" zoomScaleNormal="100" workbookViewId="0">
      <pane ySplit="3" topLeftCell="A4" activePane="bottomLeft" state="frozen"/>
      <selection pane="bottomLeft" activeCell="K13" sqref="K13"/>
    </sheetView>
  </sheetViews>
  <sheetFormatPr defaultColWidth="8.85546875" defaultRowHeight="15" x14ac:dyDescent="0.25"/>
  <cols>
    <col min="1" max="1" width="13.7109375" customWidth="1"/>
    <col min="2" max="2" width="19" customWidth="1"/>
    <col min="3" max="3" width="15.42578125" customWidth="1"/>
    <col min="4" max="4" width="13.85546875" customWidth="1"/>
    <col min="5" max="5" width="17.42578125" customWidth="1"/>
    <col min="6" max="6" width="10.85546875" customWidth="1"/>
    <col min="7" max="7" width="31.7109375" bestFit="1" customWidth="1"/>
    <col min="8" max="8" width="16.28515625" bestFit="1" customWidth="1"/>
    <col min="9" max="9" width="12" style="26" bestFit="1" customWidth="1"/>
    <col min="10" max="10" width="15" customWidth="1"/>
    <col min="11" max="11" width="17.42578125" customWidth="1"/>
  </cols>
  <sheetData>
    <row r="1" spans="1:11" ht="24" customHeight="1" x14ac:dyDescent="0.25">
      <c r="A1" s="46" t="s">
        <v>18</v>
      </c>
      <c r="B1" s="47"/>
      <c r="C1" s="47"/>
      <c r="D1" s="47"/>
      <c r="E1" s="47"/>
      <c r="F1" s="47"/>
      <c r="G1" s="47"/>
      <c r="H1" s="48"/>
      <c r="J1" s="8"/>
      <c r="K1" s="1" t="s">
        <v>17</v>
      </c>
    </row>
    <row r="2" spans="1:11" ht="31.5" x14ac:dyDescent="0.25">
      <c r="A2" s="49" t="s">
        <v>11</v>
      </c>
      <c r="B2" s="51" t="s">
        <v>3</v>
      </c>
      <c r="C2" s="51" t="s">
        <v>12</v>
      </c>
      <c r="D2" s="51" t="s">
        <v>13</v>
      </c>
      <c r="E2" s="14" t="s">
        <v>20</v>
      </c>
      <c r="F2" s="51" t="s">
        <v>4</v>
      </c>
      <c r="G2" s="14" t="s">
        <v>14</v>
      </c>
      <c r="H2" s="53" t="s">
        <v>5</v>
      </c>
      <c r="I2" s="30" t="s">
        <v>24</v>
      </c>
      <c r="J2" s="30" t="s">
        <v>20</v>
      </c>
      <c r="K2" s="30" t="s">
        <v>23</v>
      </c>
    </row>
    <row r="3" spans="1:11" ht="15" customHeight="1" x14ac:dyDescent="0.25">
      <c r="A3" s="50"/>
      <c r="B3" s="52"/>
      <c r="C3" s="52"/>
      <c r="D3" s="52"/>
      <c r="E3" s="15" t="s">
        <v>22</v>
      </c>
      <c r="F3" s="52"/>
      <c r="G3" s="15" t="s">
        <v>21</v>
      </c>
      <c r="H3" s="54"/>
      <c r="I3" s="37">
        <v>199</v>
      </c>
      <c r="J3" s="37">
        <v>30</v>
      </c>
      <c r="K3" s="37">
        <v>10</v>
      </c>
    </row>
    <row r="4" spans="1:11" x14ac:dyDescent="0.25">
      <c r="A4" s="16" t="s">
        <v>6</v>
      </c>
      <c r="B4" s="22" t="s">
        <v>8</v>
      </c>
      <c r="C4" s="40">
        <v>50</v>
      </c>
      <c r="D4" s="19">
        <v>15</v>
      </c>
      <c r="E4" s="9">
        <f>$J$3*D4</f>
        <v>450</v>
      </c>
      <c r="F4" s="43">
        <f>D8</f>
        <v>50</v>
      </c>
      <c r="G4" s="9">
        <f>IF($F$4&gt;=$C$4,$K$3*$F$4/3,0)</f>
        <v>166.66666666666666</v>
      </c>
      <c r="H4" s="10">
        <f>E4+G4</f>
        <v>616.66666666666663</v>
      </c>
    </row>
    <row r="5" spans="1:11" x14ac:dyDescent="0.25">
      <c r="A5" s="17" t="s">
        <v>6</v>
      </c>
      <c r="B5" s="23" t="s">
        <v>9</v>
      </c>
      <c r="C5" s="41">
        <v>50</v>
      </c>
      <c r="D5" s="20">
        <v>15</v>
      </c>
      <c r="E5" s="2">
        <f>$J$3*D5</f>
        <v>450</v>
      </c>
      <c r="F5" s="44"/>
      <c r="G5" s="2">
        <f>IF($F$4&gt;=$C$4,$K$3*$F$4/3,0)</f>
        <v>166.66666666666666</v>
      </c>
      <c r="H5" s="3">
        <f t="shared" ref="H5:H7" si="0">E5+G5</f>
        <v>616.66666666666663</v>
      </c>
    </row>
    <row r="6" spans="1:11" x14ac:dyDescent="0.25">
      <c r="A6" s="17" t="s">
        <v>6</v>
      </c>
      <c r="B6" s="23" t="s">
        <v>10</v>
      </c>
      <c r="C6" s="41">
        <v>50</v>
      </c>
      <c r="D6" s="20">
        <v>15</v>
      </c>
      <c r="E6" s="2">
        <f>$J$3*D6</f>
        <v>450</v>
      </c>
      <c r="F6" s="44"/>
      <c r="G6" s="2">
        <f>IF($F$4&gt;=$C$4,$K$3*$F$4/3,0)</f>
        <v>166.66666666666666</v>
      </c>
      <c r="H6" s="3">
        <f t="shared" si="0"/>
        <v>616.66666666666663</v>
      </c>
    </row>
    <row r="7" spans="1:11" x14ac:dyDescent="0.25">
      <c r="A7" s="18" t="s">
        <v>6</v>
      </c>
      <c r="B7" s="24" t="s">
        <v>7</v>
      </c>
      <c r="C7" s="42">
        <v>50</v>
      </c>
      <c r="D7" s="21">
        <v>5</v>
      </c>
      <c r="E7" s="4">
        <v>0</v>
      </c>
      <c r="F7" s="45"/>
      <c r="G7" s="4">
        <v>0</v>
      </c>
      <c r="H7" s="5">
        <f t="shared" si="0"/>
        <v>0</v>
      </c>
    </row>
    <row r="8" spans="1:11" ht="15.75" x14ac:dyDescent="0.25">
      <c r="A8" s="55" t="s">
        <v>16</v>
      </c>
      <c r="B8" s="55"/>
      <c r="C8" s="55"/>
      <c r="D8" s="6">
        <f>SUM(D4:D7)</f>
        <v>50</v>
      </c>
      <c r="E8" s="29">
        <f>SUM(E4:E7)</f>
        <v>1350</v>
      </c>
      <c r="F8" s="6">
        <f>F4</f>
        <v>50</v>
      </c>
      <c r="G8" s="29">
        <f>SUM(G4:G7)</f>
        <v>500</v>
      </c>
      <c r="H8" s="7">
        <f>SUM(H4:H7)</f>
        <v>1850</v>
      </c>
      <c r="I8" s="32">
        <f>D8*I3</f>
        <v>9950</v>
      </c>
    </row>
    <row r="9" spans="1:11" x14ac:dyDescent="0.25">
      <c r="A9" s="11"/>
      <c r="B9" s="12"/>
      <c r="C9" s="12"/>
      <c r="D9" s="12"/>
      <c r="E9" s="12"/>
      <c r="F9" s="12"/>
      <c r="G9" s="12"/>
      <c r="H9" s="13"/>
    </row>
    <row r="10" spans="1:11" x14ac:dyDescent="0.25">
      <c r="A10" s="16" t="s">
        <v>15</v>
      </c>
      <c r="B10" s="22" t="s">
        <v>8</v>
      </c>
      <c r="C10" s="40">
        <v>20</v>
      </c>
      <c r="D10" s="19">
        <v>6</v>
      </c>
      <c r="E10" s="9">
        <f>$J$3*D10</f>
        <v>180</v>
      </c>
      <c r="F10" s="43">
        <f>D14</f>
        <v>20</v>
      </c>
      <c r="G10" s="9">
        <f>IF($F$10&gt;=$C$10,$K$3*$F$10/3,0)</f>
        <v>66.666666666666671</v>
      </c>
      <c r="H10" s="10">
        <f>E10+G10</f>
        <v>246.66666666666669</v>
      </c>
    </row>
    <row r="11" spans="1:11" x14ac:dyDescent="0.25">
      <c r="A11" s="17" t="s">
        <v>15</v>
      </c>
      <c r="B11" s="23" t="s">
        <v>9</v>
      </c>
      <c r="C11" s="41">
        <v>50</v>
      </c>
      <c r="D11" s="20">
        <v>6</v>
      </c>
      <c r="E11" s="2">
        <f>$J$3*D11</f>
        <v>180</v>
      </c>
      <c r="F11" s="44"/>
      <c r="G11" s="2">
        <f>IF($F$4&gt;=$C$10,$K$3*$F$10/3,0)</f>
        <v>66.666666666666671</v>
      </c>
      <c r="H11" s="3">
        <f t="shared" ref="H11:H13" si="1">E11+G11</f>
        <v>246.66666666666669</v>
      </c>
    </row>
    <row r="12" spans="1:11" x14ac:dyDescent="0.25">
      <c r="A12" s="17" t="s">
        <v>15</v>
      </c>
      <c r="B12" s="23" t="s">
        <v>10</v>
      </c>
      <c r="C12" s="41">
        <v>50</v>
      </c>
      <c r="D12" s="20">
        <v>6</v>
      </c>
      <c r="E12" s="2">
        <f>$J$3*D12</f>
        <v>180</v>
      </c>
      <c r="F12" s="44"/>
      <c r="G12" s="2">
        <f>IF($F$4&gt;=$C$10,$K$3*$F$10/3,0)</f>
        <v>66.666666666666671</v>
      </c>
      <c r="H12" s="3">
        <f t="shared" si="1"/>
        <v>246.66666666666669</v>
      </c>
    </row>
    <row r="13" spans="1:11" x14ac:dyDescent="0.25">
      <c r="A13" s="18" t="s">
        <v>15</v>
      </c>
      <c r="B13" s="24" t="s">
        <v>7</v>
      </c>
      <c r="C13" s="42">
        <v>50</v>
      </c>
      <c r="D13" s="21">
        <v>2</v>
      </c>
      <c r="E13" s="4">
        <v>0</v>
      </c>
      <c r="F13" s="45"/>
      <c r="G13" s="4">
        <v>0</v>
      </c>
      <c r="H13" s="5">
        <f t="shared" si="1"/>
        <v>0</v>
      </c>
    </row>
    <row r="14" spans="1:11" ht="15.75" x14ac:dyDescent="0.25">
      <c r="A14" s="55" t="s">
        <v>16</v>
      </c>
      <c r="B14" s="55"/>
      <c r="C14" s="55"/>
      <c r="D14" s="6">
        <f>SUM(D10:D13)</f>
        <v>20</v>
      </c>
      <c r="E14" s="29">
        <f>SUM(E10:E13)</f>
        <v>540</v>
      </c>
      <c r="F14" s="6">
        <f>F10</f>
        <v>20</v>
      </c>
      <c r="G14" s="29">
        <f>SUM(G10:G13)</f>
        <v>200</v>
      </c>
      <c r="H14" s="7">
        <f>SUM(H10:H13)</f>
        <v>740</v>
      </c>
      <c r="I14" s="32">
        <f>D14*I3</f>
        <v>3980</v>
      </c>
    </row>
    <row r="15" spans="1:11" x14ac:dyDescent="0.25">
      <c r="A15" s="11"/>
      <c r="B15" s="12"/>
      <c r="C15" s="12"/>
      <c r="D15" s="12"/>
      <c r="E15" s="12"/>
      <c r="F15" s="12"/>
      <c r="G15" s="12"/>
      <c r="H15" s="13"/>
    </row>
    <row r="16" spans="1:11" x14ac:dyDescent="0.25">
      <c r="A16" s="16" t="s">
        <v>0</v>
      </c>
      <c r="B16" s="22" t="s">
        <v>8</v>
      </c>
      <c r="C16" s="40">
        <v>60</v>
      </c>
      <c r="D16" s="19">
        <v>18</v>
      </c>
      <c r="E16" s="9">
        <f>$J$3*D16</f>
        <v>540</v>
      </c>
      <c r="F16" s="43">
        <f>D20</f>
        <v>60</v>
      </c>
      <c r="G16" s="9">
        <f>IF($F$16&gt;=$C$16,$K$3*$F$16/3,0)</f>
        <v>200</v>
      </c>
      <c r="H16" s="10">
        <f>E16+G16</f>
        <v>740</v>
      </c>
    </row>
    <row r="17" spans="1:9" x14ac:dyDescent="0.25">
      <c r="A17" s="17" t="s">
        <v>0</v>
      </c>
      <c r="B17" s="23" t="s">
        <v>9</v>
      </c>
      <c r="C17" s="41">
        <v>50</v>
      </c>
      <c r="D17" s="20">
        <v>18</v>
      </c>
      <c r="E17" s="2">
        <f>$J$3*D17</f>
        <v>540</v>
      </c>
      <c r="F17" s="44"/>
      <c r="G17" s="2">
        <f>IF($F$16&gt;=$C$16,$K$3*$F$16/3,0)</f>
        <v>200</v>
      </c>
      <c r="H17" s="3">
        <f t="shared" ref="H17:H19" si="2">E17+G17</f>
        <v>740</v>
      </c>
    </row>
    <row r="18" spans="1:9" x14ac:dyDescent="0.25">
      <c r="A18" s="17" t="s">
        <v>0</v>
      </c>
      <c r="B18" s="23" t="s">
        <v>10</v>
      </c>
      <c r="C18" s="41">
        <v>50</v>
      </c>
      <c r="D18" s="20">
        <v>18</v>
      </c>
      <c r="E18" s="2">
        <f>$J$3*D18</f>
        <v>540</v>
      </c>
      <c r="F18" s="44"/>
      <c r="G18" s="2">
        <f>IF($F$16&gt;=$C$16,$K$3*$F$16/3,0)</f>
        <v>200</v>
      </c>
      <c r="H18" s="3">
        <f t="shared" si="2"/>
        <v>740</v>
      </c>
    </row>
    <row r="19" spans="1:9" x14ac:dyDescent="0.25">
      <c r="A19" s="18" t="s">
        <v>0</v>
      </c>
      <c r="B19" s="24" t="s">
        <v>7</v>
      </c>
      <c r="C19" s="42">
        <v>50</v>
      </c>
      <c r="D19" s="21">
        <v>6</v>
      </c>
      <c r="E19" s="4">
        <v>0</v>
      </c>
      <c r="F19" s="45"/>
      <c r="G19" s="4">
        <v>0</v>
      </c>
      <c r="H19" s="5">
        <f t="shared" si="2"/>
        <v>0</v>
      </c>
    </row>
    <row r="20" spans="1:9" ht="15.75" x14ac:dyDescent="0.25">
      <c r="A20" s="55" t="s">
        <v>16</v>
      </c>
      <c r="B20" s="55"/>
      <c r="C20" s="55"/>
      <c r="D20" s="6">
        <f>SUM(D16:D19)</f>
        <v>60</v>
      </c>
      <c r="E20" s="29">
        <f>SUM(E16:E19)</f>
        <v>1620</v>
      </c>
      <c r="F20" s="6">
        <f>F16</f>
        <v>60</v>
      </c>
      <c r="G20" s="29">
        <f>SUM(G16:G19)</f>
        <v>600</v>
      </c>
      <c r="H20" s="7">
        <f>SUM(H16:H19)</f>
        <v>2220</v>
      </c>
      <c r="I20" s="32">
        <f>D20*I3</f>
        <v>11940</v>
      </c>
    </row>
    <row r="21" spans="1:9" x14ac:dyDescent="0.25">
      <c r="A21" s="11"/>
      <c r="B21" s="12"/>
      <c r="C21" s="12"/>
      <c r="D21" s="12"/>
      <c r="E21" s="12"/>
      <c r="F21" s="12"/>
      <c r="G21" s="12"/>
      <c r="H21" s="13"/>
    </row>
    <row r="22" spans="1:9" x14ac:dyDescent="0.25">
      <c r="A22" s="16" t="s">
        <v>1</v>
      </c>
      <c r="B22" s="22" t="s">
        <v>8</v>
      </c>
      <c r="C22" s="40">
        <v>70</v>
      </c>
      <c r="D22" s="19">
        <v>21</v>
      </c>
      <c r="E22" s="9">
        <f>$J$3*D22</f>
        <v>630</v>
      </c>
      <c r="F22" s="43">
        <f>D26</f>
        <v>70</v>
      </c>
      <c r="G22" s="9">
        <f>IF($F$22&gt;=$C$22,$K$3*$F$22/3,0)</f>
        <v>233.33333333333334</v>
      </c>
      <c r="H22" s="10">
        <f>E22+G22</f>
        <v>863.33333333333337</v>
      </c>
    </row>
    <row r="23" spans="1:9" x14ac:dyDescent="0.25">
      <c r="A23" s="17" t="s">
        <v>1</v>
      </c>
      <c r="B23" s="23" t="s">
        <v>9</v>
      </c>
      <c r="C23" s="41">
        <v>50</v>
      </c>
      <c r="D23" s="20">
        <v>21</v>
      </c>
      <c r="E23" s="2">
        <f>$J$3*D23</f>
        <v>630</v>
      </c>
      <c r="F23" s="44"/>
      <c r="G23" s="2">
        <f>IF($F$22&gt;=$C$22,$K$3*$F$22/3,0)</f>
        <v>233.33333333333334</v>
      </c>
      <c r="H23" s="3">
        <f t="shared" ref="H23:H25" si="3">E23+G23</f>
        <v>863.33333333333337</v>
      </c>
    </row>
    <row r="24" spans="1:9" x14ac:dyDescent="0.25">
      <c r="A24" s="17" t="s">
        <v>1</v>
      </c>
      <c r="B24" s="23" t="s">
        <v>10</v>
      </c>
      <c r="C24" s="41">
        <v>50</v>
      </c>
      <c r="D24" s="20">
        <v>21</v>
      </c>
      <c r="E24" s="2">
        <f>$J$3*D24</f>
        <v>630</v>
      </c>
      <c r="F24" s="44"/>
      <c r="G24" s="2">
        <f>IF($F$22&gt;=$C$22,$K$3*$F$22/3,0)</f>
        <v>233.33333333333334</v>
      </c>
      <c r="H24" s="3">
        <f t="shared" si="3"/>
        <v>863.33333333333337</v>
      </c>
    </row>
    <row r="25" spans="1:9" x14ac:dyDescent="0.25">
      <c r="A25" s="18" t="s">
        <v>1</v>
      </c>
      <c r="B25" s="24" t="s">
        <v>7</v>
      </c>
      <c r="C25" s="42">
        <v>50</v>
      </c>
      <c r="D25" s="21">
        <v>7</v>
      </c>
      <c r="E25" s="4">
        <v>0</v>
      </c>
      <c r="F25" s="45"/>
      <c r="G25" s="4">
        <v>0</v>
      </c>
      <c r="H25" s="5">
        <f t="shared" si="3"/>
        <v>0</v>
      </c>
    </row>
    <row r="26" spans="1:9" ht="15.75" x14ac:dyDescent="0.25">
      <c r="A26" s="55" t="s">
        <v>16</v>
      </c>
      <c r="B26" s="55"/>
      <c r="C26" s="55"/>
      <c r="D26" s="6">
        <f>SUM(D22:D25)</f>
        <v>70</v>
      </c>
      <c r="E26" s="29">
        <f>SUM(E22:E25)</f>
        <v>1890</v>
      </c>
      <c r="F26" s="6">
        <f>F22</f>
        <v>70</v>
      </c>
      <c r="G26" s="29">
        <f>SUM(G22:G25)</f>
        <v>700</v>
      </c>
      <c r="H26" s="7">
        <f>SUM(H22:H25)</f>
        <v>2590</v>
      </c>
      <c r="I26" s="32">
        <f>D26*I3</f>
        <v>13930</v>
      </c>
    </row>
    <row r="27" spans="1:9" x14ac:dyDescent="0.25">
      <c r="A27" s="11"/>
      <c r="B27" s="12"/>
      <c r="C27" s="12"/>
      <c r="D27" s="12"/>
      <c r="E27" s="12"/>
      <c r="F27" s="12"/>
      <c r="G27" s="12"/>
      <c r="H27" s="13"/>
    </row>
    <row r="28" spans="1:9" x14ac:dyDescent="0.25">
      <c r="A28" s="16" t="s">
        <v>2</v>
      </c>
      <c r="B28" s="22" t="s">
        <v>8</v>
      </c>
      <c r="C28" s="40">
        <v>20</v>
      </c>
      <c r="D28" s="19">
        <v>6</v>
      </c>
      <c r="E28" s="9">
        <f>$J$3*D28</f>
        <v>180</v>
      </c>
      <c r="F28" s="43">
        <f>D32</f>
        <v>20</v>
      </c>
      <c r="G28" s="9">
        <f>IF($F$28&gt;=$C$28,$K$3*$F$28/3,0)</f>
        <v>66.666666666666671</v>
      </c>
      <c r="H28" s="10">
        <f>E28+G28</f>
        <v>246.66666666666669</v>
      </c>
    </row>
    <row r="29" spans="1:9" x14ac:dyDescent="0.25">
      <c r="A29" s="17" t="s">
        <v>2</v>
      </c>
      <c r="B29" s="23" t="s">
        <v>9</v>
      </c>
      <c r="C29" s="41">
        <v>50</v>
      </c>
      <c r="D29" s="20">
        <v>6</v>
      </c>
      <c r="E29" s="2">
        <f>$J$3*D29</f>
        <v>180</v>
      </c>
      <c r="F29" s="44"/>
      <c r="G29" s="2">
        <f>IF($F$28&gt;=$C$28,$K$3*$F$28/3,0)</f>
        <v>66.666666666666671</v>
      </c>
      <c r="H29" s="3">
        <f t="shared" ref="H29:H31" si="4">E29+G29</f>
        <v>246.66666666666669</v>
      </c>
    </row>
    <row r="30" spans="1:9" x14ac:dyDescent="0.25">
      <c r="A30" s="17" t="s">
        <v>2</v>
      </c>
      <c r="B30" s="23" t="s">
        <v>10</v>
      </c>
      <c r="C30" s="41">
        <v>50</v>
      </c>
      <c r="D30" s="20">
        <v>6</v>
      </c>
      <c r="E30" s="2">
        <f>$J$3*D30</f>
        <v>180</v>
      </c>
      <c r="F30" s="44"/>
      <c r="G30" s="2">
        <f>IF($F$28&gt;=$C$28,$K$3*$F$28/3,0)</f>
        <v>66.666666666666671</v>
      </c>
      <c r="H30" s="3">
        <f t="shared" si="4"/>
        <v>246.66666666666669</v>
      </c>
    </row>
    <row r="31" spans="1:9" x14ac:dyDescent="0.25">
      <c r="A31" s="18" t="s">
        <v>2</v>
      </c>
      <c r="B31" s="24" t="s">
        <v>7</v>
      </c>
      <c r="C31" s="42">
        <v>50</v>
      </c>
      <c r="D31" s="21">
        <v>2</v>
      </c>
      <c r="E31" s="4">
        <v>0</v>
      </c>
      <c r="F31" s="45"/>
      <c r="G31" s="4">
        <v>0</v>
      </c>
      <c r="H31" s="5">
        <f t="shared" si="4"/>
        <v>0</v>
      </c>
    </row>
    <row r="32" spans="1:9" ht="15.75" x14ac:dyDescent="0.25">
      <c r="A32" s="55" t="s">
        <v>16</v>
      </c>
      <c r="B32" s="55"/>
      <c r="C32" s="55"/>
      <c r="D32" s="6">
        <f>SUM(D28:D31)</f>
        <v>20</v>
      </c>
      <c r="E32" s="29">
        <f>SUM(E28:E31)</f>
        <v>540</v>
      </c>
      <c r="F32" s="6">
        <f>F28</f>
        <v>20</v>
      </c>
      <c r="G32" s="29">
        <f>SUM(G28:G31)</f>
        <v>200</v>
      </c>
      <c r="H32" s="7">
        <f>SUM(H28:H31)</f>
        <v>740</v>
      </c>
      <c r="I32" s="32">
        <f>D32*I3</f>
        <v>3980</v>
      </c>
    </row>
    <row r="33" spans="1:11" x14ac:dyDescent="0.25">
      <c r="K33" s="27"/>
    </row>
    <row r="34" spans="1:11" ht="15.75" x14ac:dyDescent="0.25">
      <c r="A34" s="39" t="s">
        <v>19</v>
      </c>
      <c r="B34" s="39"/>
      <c r="C34" s="39"/>
      <c r="D34" s="25">
        <f>D8+D14+D20+D26+D32</f>
        <v>220</v>
      </c>
      <c r="E34" s="7">
        <f t="shared" ref="E34:H34" si="5">E8+E14+E20+E26+E32</f>
        <v>5940</v>
      </c>
      <c r="F34" s="25">
        <f t="shared" si="5"/>
        <v>220</v>
      </c>
      <c r="G34" s="7">
        <f t="shared" si="5"/>
        <v>2200</v>
      </c>
      <c r="H34" s="33">
        <f t="shared" si="5"/>
        <v>8140</v>
      </c>
      <c r="I34" s="36">
        <f>SUM(I8,I14,I20,I26,I32)</f>
        <v>43780</v>
      </c>
      <c r="J34" s="38">
        <f>H34/I34</f>
        <v>0.18592964824120603</v>
      </c>
      <c r="K34" s="28"/>
    </row>
    <row r="35" spans="1:11" x14ac:dyDescent="0.25">
      <c r="G35" s="31" t="s">
        <v>27</v>
      </c>
      <c r="H35" s="32">
        <f>H34/F34</f>
        <v>37</v>
      </c>
    </row>
    <row r="36" spans="1:11" x14ac:dyDescent="0.25">
      <c r="G36" s="31" t="s">
        <v>26</v>
      </c>
      <c r="H36" s="32">
        <v>24</v>
      </c>
    </row>
    <row r="37" spans="1:11" x14ac:dyDescent="0.25">
      <c r="G37" s="34" t="s">
        <v>25</v>
      </c>
      <c r="H37" s="35">
        <f>H35+H36</f>
        <v>61</v>
      </c>
    </row>
  </sheetData>
  <sheetProtection selectLockedCells="1"/>
  <mergeCells count="23">
    <mergeCell ref="F10:F13"/>
    <mergeCell ref="C28:C31"/>
    <mergeCell ref="F28:F31"/>
    <mergeCell ref="A32:C32"/>
    <mergeCell ref="C22:C25"/>
    <mergeCell ref="F22:F25"/>
    <mergeCell ref="A26:C26"/>
    <mergeCell ref="A34:C34"/>
    <mergeCell ref="C4:C7"/>
    <mergeCell ref="C10:C13"/>
    <mergeCell ref="F4:F7"/>
    <mergeCell ref="A1:H1"/>
    <mergeCell ref="A2:A3"/>
    <mergeCell ref="B2:B3"/>
    <mergeCell ref="C2:C3"/>
    <mergeCell ref="D2:D3"/>
    <mergeCell ref="F2:F3"/>
    <mergeCell ref="H2:H3"/>
    <mergeCell ref="C16:C19"/>
    <mergeCell ref="F16:F19"/>
    <mergeCell ref="A8:C8"/>
    <mergeCell ref="A14:C14"/>
    <mergeCell ref="A20:C2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8 F14 F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Comissão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2025-09-03T12:27:33Z</dcterms:created>
  <dcterms:modified xsi:type="dcterms:W3CDTF">2025-09-10T11:36:38Z</dcterms:modified>
</cp:coreProperties>
</file>